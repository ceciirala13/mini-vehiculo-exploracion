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Y AWAY MUGGLE\FIUNA\mini-vehiculo-exploracion\Hardware\mini-vehiculo-exploracion-pcb\Assets\"/>
    </mc:Choice>
  </mc:AlternateContent>
  <xr:revisionPtr revIDLastSave="0" documentId="13_ncr:1_{39EEF678-D41A-4861-BBF8-1AC39AB31E51}" xr6:coauthVersionLast="47" xr6:coauthVersionMax="47" xr10:uidLastSave="{00000000-0000-0000-0000-000000000000}"/>
  <bookViews>
    <workbookView xWindow="-108" yWindow="-108" windowWidth="23256" windowHeight="12456" xr2:uid="{FD0E3963-897E-470D-880E-FBDA975F4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D10" i="1"/>
  <c r="D21" i="1"/>
  <c r="D20" i="1"/>
  <c r="E20" i="1" s="1"/>
  <c r="E21" i="1"/>
  <c r="E10" i="1"/>
  <c r="E30" i="1"/>
  <c r="D19" i="1"/>
  <c r="E19" i="1" s="1"/>
  <c r="A22" i="1"/>
  <c r="A23" i="1"/>
  <c r="A24" i="1" s="1"/>
  <c r="A25" i="1" s="1"/>
  <c r="A26" i="1" s="1"/>
  <c r="A27" i="1" s="1"/>
  <c r="A28" i="1" s="1"/>
  <c r="A29" i="1" s="1"/>
  <c r="A30" i="1" s="1"/>
  <c r="D18" i="1"/>
  <c r="D17" i="1"/>
  <c r="E17" i="1" s="1"/>
  <c r="D16" i="1"/>
  <c r="E16" i="1" s="1"/>
  <c r="D15" i="1"/>
  <c r="E15" i="1" s="1"/>
  <c r="D14" i="1"/>
  <c r="E14" i="1" s="1"/>
  <c r="D13" i="1"/>
  <c r="E13" i="1" s="1"/>
  <c r="D12" i="1"/>
  <c r="D11" i="1"/>
  <c r="E11" i="1" s="1"/>
  <c r="E12" i="1"/>
  <c r="D25" i="1"/>
  <c r="E25" i="1" s="1"/>
  <c r="D9" i="1"/>
  <c r="E9" i="1" s="1"/>
  <c r="D8" i="1"/>
  <c r="E8" i="1" s="1"/>
  <c r="D7" i="1"/>
  <c r="E7" i="1" s="1"/>
  <c r="D6" i="1"/>
  <c r="E6" i="1" s="1"/>
  <c r="D5" i="1"/>
  <c r="E5" i="1" s="1"/>
  <c r="D23" i="1"/>
  <c r="E23" i="1" s="1"/>
  <c r="D24" i="1"/>
  <c r="E24" i="1" s="1"/>
  <c r="E18" i="1"/>
  <c r="D4" i="1"/>
  <c r="E4" i="1" s="1"/>
  <c r="D3" i="1"/>
  <c r="E3" i="1" s="1"/>
  <c r="D22" i="1"/>
  <c r="E2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<sst xmlns="http://schemas.openxmlformats.org/spreadsheetml/2006/main" count="70" uniqueCount="65">
  <si>
    <t>Ítem</t>
  </si>
  <si>
    <t>Descripción</t>
  </si>
  <si>
    <t>Cantidad</t>
  </si>
  <si>
    <t>Precio Unitario</t>
  </si>
  <si>
    <t>Parcial</t>
  </si>
  <si>
    <t>Link Referencial</t>
  </si>
  <si>
    <t>COMPONENTES</t>
  </si>
  <si>
    <t>Microcontrolador ESP32-S3-WROOM-1-N8R8</t>
  </si>
  <si>
    <t>https://mou.sr/3ITS9Ds</t>
  </si>
  <si>
    <t>Dólar</t>
  </si>
  <si>
    <t>Sensor IMU BNO086</t>
  </si>
  <si>
    <t>https://mou.sr/42b6qm6</t>
  </si>
  <si>
    <t>Sensor ambiental BME690</t>
  </si>
  <si>
    <t>https://mou.sr/4rnpyGQ</t>
  </si>
  <si>
    <t>Cámara OV2640</t>
  </si>
  <si>
    <t>Driver DRV8873HPWPRQ1</t>
  </si>
  <si>
    <t>https://mou.sr/4li6WGU</t>
  </si>
  <si>
    <t>Capacitor 0.1 uF</t>
  </si>
  <si>
    <t>Capacitor 1 uF</t>
  </si>
  <si>
    <t>Resistencia 2.2 kOhm</t>
  </si>
  <si>
    <t>Resistencia 10 kOhm</t>
  </si>
  <si>
    <t>Capacitor 22 pF</t>
  </si>
  <si>
    <t>Resistencia 4.7 kOhm</t>
  </si>
  <si>
    <t>https://mou.sr/3PA1Hqf</t>
  </si>
  <si>
    <t>Notas</t>
  </si>
  <si>
    <t>.25% 10ppm 1/16W</t>
  </si>
  <si>
    <t>https://mou.sr/4baDRKo</t>
  </si>
  <si>
    <t>.1% 25ppm 1/16W</t>
  </si>
  <si>
    <t>https://mou.sr/412lIs4</t>
  </si>
  <si>
    <t>20% 10 VDC</t>
  </si>
  <si>
    <t>https://mou.sr/411dyQC</t>
  </si>
  <si>
    <t>5% 50 VDC</t>
  </si>
  <si>
    <t>https://mou.sr/3NduY9F</t>
  </si>
  <si>
    <t>Sensores</t>
  </si>
  <si>
    <t>ESP32</t>
  </si>
  <si>
    <t>Cámara</t>
  </si>
  <si>
    <t>Motores</t>
  </si>
  <si>
    <t>https://mou.sr/3NovIbT</t>
  </si>
  <si>
    <t>Conector Terminal 8P (P/ ArduCam)</t>
  </si>
  <si>
    <t xml:space="preserve">Switch </t>
  </si>
  <si>
    <t>https://mou.sr/4lqPX5n</t>
  </si>
  <si>
    <t>Revisar las tarifas a USA</t>
  </si>
  <si>
    <t>https://mou.sr/46VsC5T</t>
  </si>
  <si>
    <t>20% 25VDC</t>
  </si>
  <si>
    <t>Resistencia 0 Ohm</t>
  </si>
  <si>
    <t>https://mou.sr/4rt1suk</t>
  </si>
  <si>
    <t>0ppm 1/20W</t>
  </si>
  <si>
    <t>https://a.co/d/0fQ19Ojj</t>
  </si>
  <si>
    <t>https://mou.sr/4sGNgPo</t>
  </si>
  <si>
    <t>USB Receptacle</t>
  </si>
  <si>
    <t>Diodo de Protección ESD / Diodo TVS</t>
  </si>
  <si>
    <t>https://mou.sr/3QKlXSP</t>
  </si>
  <si>
    <t xml:space="preserve">Fusible </t>
  </si>
  <si>
    <t>https://mou.sr/3NeqxLN</t>
  </si>
  <si>
    <t>Diodo Schottky y Rectificador</t>
  </si>
  <si>
    <t>https://mou.sr/4sOo1Ls</t>
  </si>
  <si>
    <t>https://mou.sr/4qtT9xZ</t>
  </si>
  <si>
    <t>5% 50V</t>
  </si>
  <si>
    <t>https://mou.sr/3NDR59j</t>
  </si>
  <si>
    <t>Resistencia 5.1 kOhm</t>
  </si>
  <si>
    <t>0.1% 25ppm 1/10W</t>
  </si>
  <si>
    <t>https://mou.sr/3Nd8K7H</t>
  </si>
  <si>
    <t>Diodo de Protección ESD</t>
  </si>
  <si>
    <t>https://mou.sr/3JC1Jeg</t>
  </si>
  <si>
    <t>Cristal 32.7680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</si>
</sst>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2" applyBorder="1"/>
    <xf numFmtId="164" fontId="0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Fill="1" applyBorder="1"/>
    <xf numFmtId="0" fontId="3" fillId="0" borderId="1" xfId="2" applyFont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u.sr/412lIs4" TargetMode="External"/><Relationship Id="rId13" Type="http://schemas.openxmlformats.org/officeDocument/2006/relationships/hyperlink" Target="https://mou.sr/46VsC5T" TargetMode="External"/><Relationship Id="rId18" Type="http://schemas.openxmlformats.org/officeDocument/2006/relationships/hyperlink" Target="https://mou.sr/3NeqxLN" TargetMode="External"/><Relationship Id="rId3" Type="http://schemas.openxmlformats.org/officeDocument/2006/relationships/hyperlink" Target="https://mou.sr/4rnpyGQ" TargetMode="External"/><Relationship Id="rId21" Type="http://schemas.openxmlformats.org/officeDocument/2006/relationships/hyperlink" Target="https://mou.sr/3NDR59j" TargetMode="External"/><Relationship Id="rId7" Type="http://schemas.openxmlformats.org/officeDocument/2006/relationships/hyperlink" Target="https://mou.sr/4baDRKo" TargetMode="External"/><Relationship Id="rId12" Type="http://schemas.openxmlformats.org/officeDocument/2006/relationships/hyperlink" Target="https://mou.sr/4lqPX5n" TargetMode="External"/><Relationship Id="rId17" Type="http://schemas.openxmlformats.org/officeDocument/2006/relationships/hyperlink" Target="https://mou.sr/3QKlXSP" TargetMode="External"/><Relationship Id="rId2" Type="http://schemas.openxmlformats.org/officeDocument/2006/relationships/hyperlink" Target="https://mou.sr/42b6qm6" TargetMode="External"/><Relationship Id="rId16" Type="http://schemas.openxmlformats.org/officeDocument/2006/relationships/hyperlink" Target="https://mou.sr/4sGNgPo" TargetMode="External"/><Relationship Id="rId20" Type="http://schemas.openxmlformats.org/officeDocument/2006/relationships/hyperlink" Target="https://mou.sr/4qtT9xZ" TargetMode="External"/><Relationship Id="rId1" Type="http://schemas.openxmlformats.org/officeDocument/2006/relationships/hyperlink" Target="https://mou.sr/3ITS9Ds" TargetMode="External"/><Relationship Id="rId6" Type="http://schemas.openxmlformats.org/officeDocument/2006/relationships/hyperlink" Target="https://mou.sr/3PA1Hqf" TargetMode="External"/><Relationship Id="rId11" Type="http://schemas.openxmlformats.org/officeDocument/2006/relationships/hyperlink" Target="https://mou.sr/3NovIbT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ou.sr/4li6WGU" TargetMode="External"/><Relationship Id="rId15" Type="http://schemas.openxmlformats.org/officeDocument/2006/relationships/hyperlink" Target="https://mou.sr/4baDRKo" TargetMode="External"/><Relationship Id="rId23" Type="http://schemas.openxmlformats.org/officeDocument/2006/relationships/hyperlink" Target="https://mou.sr/3JC1Jeg" TargetMode="External"/><Relationship Id="rId10" Type="http://schemas.openxmlformats.org/officeDocument/2006/relationships/hyperlink" Target="https://mou.sr/3NduY9F" TargetMode="External"/><Relationship Id="rId19" Type="http://schemas.openxmlformats.org/officeDocument/2006/relationships/hyperlink" Target="https://mou.sr/4sOo1Ls" TargetMode="External"/><Relationship Id="rId4" Type="http://schemas.openxmlformats.org/officeDocument/2006/relationships/hyperlink" Target="https://a.co/d/0fQ19Ojj" TargetMode="External"/><Relationship Id="rId9" Type="http://schemas.openxmlformats.org/officeDocument/2006/relationships/hyperlink" Target="https://mou.sr/411dyQC" TargetMode="External"/><Relationship Id="rId14" Type="http://schemas.openxmlformats.org/officeDocument/2006/relationships/hyperlink" Target="https://mou.sr/4rt1suk" TargetMode="External"/><Relationship Id="rId22" Type="http://schemas.openxmlformats.org/officeDocument/2006/relationships/hyperlink" Target="https://mou.sr/3Nd8K7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2AD-E57D-4C3D-BF60-E11D66D6B798}">
  <dimension ref="A1:J30"/>
  <sheetViews>
    <sheetView tabSelected="1" workbookViewId="0">
      <selection activeCell="B25" sqref="B25"/>
    </sheetView>
  </sheetViews>
  <sheetFormatPr baseColWidth="10" defaultRowHeight="14.4" x14ac:dyDescent="0.3"/>
  <cols>
    <col min="1" max="1" width="4.88671875" bestFit="1" customWidth="1"/>
    <col min="2" max="2" width="49.44140625" customWidth="1"/>
    <col min="4" max="4" width="13.44140625" bestFit="1" customWidth="1"/>
    <col min="6" max="6" width="21.44140625" bestFit="1" customWidth="1"/>
    <col min="7" max="7" width="17.109375" bestFit="1" customWidth="1"/>
  </cols>
  <sheetData>
    <row r="1" spans="1:10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24</v>
      </c>
    </row>
    <row r="2" spans="1:10" x14ac:dyDescent="0.3">
      <c r="A2" s="2"/>
      <c r="B2" s="1" t="s">
        <v>6</v>
      </c>
      <c r="C2" s="2"/>
      <c r="D2" s="2"/>
      <c r="E2" s="2"/>
      <c r="F2" s="2"/>
      <c r="G2" s="7"/>
    </row>
    <row r="3" spans="1:10" x14ac:dyDescent="0.3">
      <c r="A3" s="2">
        <v>1</v>
      </c>
      <c r="B3" s="11" t="s">
        <v>10</v>
      </c>
      <c r="C3" s="2">
        <v>1</v>
      </c>
      <c r="D3" s="5">
        <f>13.4*J3</f>
        <v>91790</v>
      </c>
      <c r="E3" s="5">
        <f>+D3*C3</f>
        <v>91790</v>
      </c>
      <c r="F3" s="4" t="s">
        <v>11</v>
      </c>
      <c r="G3" s="7"/>
      <c r="I3" t="s">
        <v>9</v>
      </c>
      <c r="J3">
        <v>6850</v>
      </c>
    </row>
    <row r="4" spans="1:10" x14ac:dyDescent="0.3">
      <c r="A4" s="2">
        <f>1+A3</f>
        <v>2</v>
      </c>
      <c r="B4" s="11" t="s">
        <v>12</v>
      </c>
      <c r="C4" s="2">
        <v>1</v>
      </c>
      <c r="D4" s="5">
        <f>8.27*J3</f>
        <v>56649.5</v>
      </c>
      <c r="E4" s="5">
        <f>+D4*C4</f>
        <v>56649.5</v>
      </c>
      <c r="F4" s="4" t="s">
        <v>13</v>
      </c>
      <c r="G4" s="7"/>
    </row>
    <row r="5" spans="1:10" x14ac:dyDescent="0.3">
      <c r="A5" s="2">
        <f t="shared" ref="A5:A30" si="0">1+A4</f>
        <v>3</v>
      </c>
      <c r="B5" s="11" t="s">
        <v>19</v>
      </c>
      <c r="C5" s="2">
        <v>4</v>
      </c>
      <c r="D5" s="5">
        <f>0.2*J3</f>
        <v>1370</v>
      </c>
      <c r="E5" s="5">
        <f>+D5*C5</f>
        <v>5480</v>
      </c>
      <c r="F5" s="4" t="s">
        <v>23</v>
      </c>
      <c r="G5" s="7" t="s">
        <v>25</v>
      </c>
    </row>
    <row r="6" spans="1:10" x14ac:dyDescent="0.3">
      <c r="A6" s="2">
        <f t="shared" si="0"/>
        <v>4</v>
      </c>
      <c r="B6" s="11" t="s">
        <v>20</v>
      </c>
      <c r="C6" s="2">
        <v>1</v>
      </c>
      <c r="D6" s="5">
        <f>0.1*J3</f>
        <v>685</v>
      </c>
      <c r="E6" s="5">
        <f>+D6*C6</f>
        <v>685</v>
      </c>
      <c r="F6" s="4" t="s">
        <v>26</v>
      </c>
      <c r="G6" s="7" t="s">
        <v>27</v>
      </c>
      <c r="I6" t="s">
        <v>33</v>
      </c>
      <c r="J6" s="8"/>
    </row>
    <row r="7" spans="1:10" x14ac:dyDescent="0.3">
      <c r="A7" s="2">
        <f t="shared" si="0"/>
        <v>5</v>
      </c>
      <c r="B7" s="11" t="s">
        <v>17</v>
      </c>
      <c r="C7" s="2">
        <v>5</v>
      </c>
      <c r="D7" s="5">
        <f>0.13*J3</f>
        <v>890.5</v>
      </c>
      <c r="E7" s="5">
        <f>+D7*C7</f>
        <v>4452.5</v>
      </c>
      <c r="F7" s="4" t="s">
        <v>28</v>
      </c>
      <c r="G7" s="7" t="s">
        <v>29</v>
      </c>
      <c r="I7" t="s">
        <v>34</v>
      </c>
      <c r="J7" s="9"/>
    </row>
    <row r="8" spans="1:10" x14ac:dyDescent="0.3">
      <c r="A8" s="2">
        <f t="shared" si="0"/>
        <v>6</v>
      </c>
      <c r="B8" s="11" t="s">
        <v>21</v>
      </c>
      <c r="C8" s="2">
        <v>2</v>
      </c>
      <c r="D8" s="5">
        <f>0.12*J3</f>
        <v>822</v>
      </c>
      <c r="E8" s="5">
        <f>+D8*C8</f>
        <v>1644</v>
      </c>
      <c r="F8" s="4" t="s">
        <v>30</v>
      </c>
      <c r="G8" s="7" t="s">
        <v>31</v>
      </c>
      <c r="I8" t="s">
        <v>35</v>
      </c>
      <c r="J8" s="10"/>
    </row>
    <row r="9" spans="1:10" x14ac:dyDescent="0.3">
      <c r="A9" s="2">
        <f t="shared" si="0"/>
        <v>7</v>
      </c>
      <c r="B9" s="11" t="s">
        <v>22</v>
      </c>
      <c r="C9" s="2">
        <v>2</v>
      </c>
      <c r="D9" s="5">
        <f>0.1*J3</f>
        <v>685</v>
      </c>
      <c r="E9" s="5">
        <f>+D9*C9</f>
        <v>1370</v>
      </c>
      <c r="F9" s="4" t="s">
        <v>32</v>
      </c>
      <c r="G9" s="7" t="s">
        <v>27</v>
      </c>
      <c r="I9" t="s">
        <v>36</v>
      </c>
      <c r="J9" s="14"/>
    </row>
    <row r="10" spans="1:10" x14ac:dyDescent="0.3">
      <c r="A10" s="2">
        <f t="shared" si="0"/>
        <v>8</v>
      </c>
      <c r="B10" s="11" t="s">
        <v>64</v>
      </c>
      <c r="C10" s="2">
        <v>1</v>
      </c>
      <c r="D10" s="5">
        <f>0.58*J3</f>
        <v>3972.9999999999995</v>
      </c>
      <c r="E10" s="5">
        <f>+D10*C10</f>
        <v>3972.9999999999995</v>
      </c>
      <c r="F10" s="4" t="s">
        <v>63</v>
      </c>
      <c r="G10" s="7"/>
    </row>
    <row r="11" spans="1:10" x14ac:dyDescent="0.3">
      <c r="A11" s="2">
        <f t="shared" si="0"/>
        <v>9</v>
      </c>
      <c r="B11" s="12" t="s">
        <v>39</v>
      </c>
      <c r="C11" s="2">
        <v>1</v>
      </c>
      <c r="D11" s="5">
        <f>0.18*J3</f>
        <v>1233</v>
      </c>
      <c r="E11" s="5">
        <f>+D11*C11</f>
        <v>1233</v>
      </c>
      <c r="F11" s="4" t="s">
        <v>40</v>
      </c>
      <c r="G11" s="7"/>
    </row>
    <row r="12" spans="1:10" x14ac:dyDescent="0.3">
      <c r="A12" s="2">
        <f t="shared" si="0"/>
        <v>10</v>
      </c>
      <c r="B12" s="12" t="s">
        <v>18</v>
      </c>
      <c r="C12" s="2">
        <v>4</v>
      </c>
      <c r="D12" s="5">
        <f>0.61*J3</f>
        <v>4178.5</v>
      </c>
      <c r="E12" s="5">
        <f>+D12*C12</f>
        <v>16714</v>
      </c>
      <c r="F12" s="4" t="s">
        <v>42</v>
      </c>
      <c r="G12" s="7" t="s">
        <v>43</v>
      </c>
    </row>
    <row r="13" spans="1:10" x14ac:dyDescent="0.3">
      <c r="A13" s="2">
        <f t="shared" si="0"/>
        <v>11</v>
      </c>
      <c r="B13" s="12" t="s">
        <v>44</v>
      </c>
      <c r="C13" s="2">
        <v>1</v>
      </c>
      <c r="D13" s="5">
        <f>0.22*J3</f>
        <v>1507</v>
      </c>
      <c r="E13" s="5">
        <f>+D13*C13</f>
        <v>1507</v>
      </c>
      <c r="F13" s="4" t="s">
        <v>45</v>
      </c>
      <c r="G13" s="7" t="s">
        <v>46</v>
      </c>
    </row>
    <row r="14" spans="1:10" x14ac:dyDescent="0.3">
      <c r="A14" s="2">
        <f t="shared" si="0"/>
        <v>12</v>
      </c>
      <c r="B14" s="12" t="s">
        <v>20</v>
      </c>
      <c r="C14" s="2">
        <v>1</v>
      </c>
      <c r="D14" s="5">
        <f>0.1*J3</f>
        <v>685</v>
      </c>
      <c r="E14" s="5">
        <f t="shared" ref="E14" si="1">+D14*C14</f>
        <v>685</v>
      </c>
      <c r="F14" s="4" t="s">
        <v>26</v>
      </c>
      <c r="G14" s="7" t="s">
        <v>27</v>
      </c>
    </row>
    <row r="15" spans="1:10" x14ac:dyDescent="0.3">
      <c r="A15" s="2">
        <f t="shared" si="0"/>
        <v>13</v>
      </c>
      <c r="B15" s="12" t="s">
        <v>49</v>
      </c>
      <c r="C15" s="2">
        <v>1</v>
      </c>
      <c r="D15" s="5">
        <f>0.53*J3</f>
        <v>3630.5</v>
      </c>
      <c r="E15" s="5">
        <f>+D15*C15</f>
        <v>3630.5</v>
      </c>
      <c r="F15" s="4" t="s">
        <v>48</v>
      </c>
      <c r="G15" s="7"/>
    </row>
    <row r="16" spans="1:10" x14ac:dyDescent="0.3">
      <c r="A16" s="2">
        <f t="shared" si="0"/>
        <v>14</v>
      </c>
      <c r="B16" s="12" t="s">
        <v>50</v>
      </c>
      <c r="C16" s="2">
        <v>1</v>
      </c>
      <c r="D16" s="5">
        <f>0.36*J3</f>
        <v>2466</v>
      </c>
      <c r="E16" s="5">
        <f>+D16*C16</f>
        <v>2466</v>
      </c>
      <c r="F16" s="4" t="s">
        <v>51</v>
      </c>
      <c r="G16" s="7"/>
    </row>
    <row r="17" spans="1:9" x14ac:dyDescent="0.3">
      <c r="A17" s="2">
        <f t="shared" si="0"/>
        <v>15</v>
      </c>
      <c r="B17" s="12" t="s">
        <v>52</v>
      </c>
      <c r="C17" s="2">
        <v>1</v>
      </c>
      <c r="D17" s="5">
        <f>0.31*J3</f>
        <v>2123.5</v>
      </c>
      <c r="E17" s="5">
        <f>+D17*C17</f>
        <v>2123.5</v>
      </c>
      <c r="F17" s="4" t="s">
        <v>53</v>
      </c>
      <c r="G17" s="7"/>
      <c r="I17" t="s">
        <v>41</v>
      </c>
    </row>
    <row r="18" spans="1:9" x14ac:dyDescent="0.3">
      <c r="A18" s="2">
        <f t="shared" si="0"/>
        <v>16</v>
      </c>
      <c r="B18" s="12" t="s">
        <v>54</v>
      </c>
      <c r="C18" s="2">
        <v>1</v>
      </c>
      <c r="D18" s="5">
        <f>0.35*J3</f>
        <v>2397.5</v>
      </c>
      <c r="E18" s="5">
        <f>+D18*C18</f>
        <v>2397.5</v>
      </c>
      <c r="F18" s="4" t="s">
        <v>55</v>
      </c>
      <c r="G18" s="7"/>
    </row>
    <row r="19" spans="1:9" x14ac:dyDescent="0.3">
      <c r="A19" s="2">
        <f t="shared" si="0"/>
        <v>17</v>
      </c>
      <c r="B19" s="12" t="s">
        <v>17</v>
      </c>
      <c r="C19" s="2">
        <v>1</v>
      </c>
      <c r="D19" s="5">
        <f>0.2*J3</f>
        <v>1370</v>
      </c>
      <c r="E19" s="5">
        <f>+D19*C19</f>
        <v>1370</v>
      </c>
      <c r="F19" s="4" t="s">
        <v>56</v>
      </c>
      <c r="G19" s="7" t="s">
        <v>57</v>
      </c>
    </row>
    <row r="20" spans="1:9" x14ac:dyDescent="0.3">
      <c r="A20" s="2">
        <f t="shared" si="0"/>
        <v>18</v>
      </c>
      <c r="B20" s="12" t="s">
        <v>59</v>
      </c>
      <c r="C20" s="2">
        <v>2</v>
      </c>
      <c r="D20" s="5">
        <f>0.22*J3</f>
        <v>1507</v>
      </c>
      <c r="E20" s="5">
        <f>+D20*C20</f>
        <v>3014</v>
      </c>
      <c r="F20" s="17" t="s">
        <v>58</v>
      </c>
      <c r="G20" s="7" t="s">
        <v>60</v>
      </c>
    </row>
    <row r="21" spans="1:9" x14ac:dyDescent="0.3">
      <c r="A21" s="2">
        <f t="shared" si="0"/>
        <v>19</v>
      </c>
      <c r="B21" s="12" t="s">
        <v>62</v>
      </c>
      <c r="C21" s="2">
        <v>1</v>
      </c>
      <c r="D21" s="5">
        <f>0.43*J3</f>
        <v>2945.5</v>
      </c>
      <c r="E21" s="5">
        <f>+D21*C21</f>
        <v>2945.5</v>
      </c>
      <c r="F21" s="4" t="s">
        <v>61</v>
      </c>
      <c r="G21" s="7"/>
    </row>
    <row r="22" spans="1:9" x14ac:dyDescent="0.3">
      <c r="A22" s="2">
        <f t="shared" si="0"/>
        <v>20</v>
      </c>
      <c r="B22" s="12" t="s">
        <v>7</v>
      </c>
      <c r="C22" s="2">
        <v>1</v>
      </c>
      <c r="D22" s="5">
        <f>6.23*J3</f>
        <v>42675.5</v>
      </c>
      <c r="E22" s="5">
        <f>+D22*C22</f>
        <v>42675.5</v>
      </c>
      <c r="F22" s="4" t="s">
        <v>8</v>
      </c>
      <c r="G22" s="7"/>
    </row>
    <row r="23" spans="1:9" x14ac:dyDescent="0.3">
      <c r="A23" s="2">
        <f t="shared" si="0"/>
        <v>21</v>
      </c>
      <c r="B23" s="15" t="s">
        <v>15</v>
      </c>
      <c r="C23" s="2">
        <v>2</v>
      </c>
      <c r="D23" s="5">
        <f>3.97*J3</f>
        <v>27194.5</v>
      </c>
      <c r="E23" s="5">
        <f>+D23*C23</f>
        <v>54389</v>
      </c>
      <c r="F23" s="4" t="s">
        <v>16</v>
      </c>
      <c r="G23" s="7"/>
    </row>
    <row r="24" spans="1:9" x14ac:dyDescent="0.3">
      <c r="A24" s="2">
        <f t="shared" si="0"/>
        <v>22</v>
      </c>
      <c r="B24" s="13" t="s">
        <v>14</v>
      </c>
      <c r="C24" s="2">
        <v>1</v>
      </c>
      <c r="D24" s="5">
        <f>25.99*J3</f>
        <v>178031.5</v>
      </c>
      <c r="E24" s="5">
        <f>+D24*C24</f>
        <v>178031.5</v>
      </c>
      <c r="F24" s="4" t="s">
        <v>47</v>
      </c>
      <c r="G24" s="7"/>
    </row>
    <row r="25" spans="1:9" x14ac:dyDescent="0.3">
      <c r="A25" s="2">
        <f t="shared" si="0"/>
        <v>23</v>
      </c>
      <c r="B25" s="13" t="s">
        <v>38</v>
      </c>
      <c r="C25" s="2">
        <v>1</v>
      </c>
      <c r="D25" s="5">
        <f>4.02*J3</f>
        <v>27536.999999999996</v>
      </c>
      <c r="E25" s="5">
        <f>+D25*C25</f>
        <v>27536.999999999996</v>
      </c>
      <c r="F25" s="4" t="s">
        <v>37</v>
      </c>
      <c r="G25" s="7"/>
    </row>
    <row r="26" spans="1:9" x14ac:dyDescent="0.3">
      <c r="A26" s="2">
        <f t="shared" si="0"/>
        <v>24</v>
      </c>
      <c r="B26" s="2"/>
      <c r="C26" s="2"/>
      <c r="D26" s="2"/>
      <c r="E26" s="5">
        <f t="shared" ref="E26:E29" si="2">+D26*C26</f>
        <v>0</v>
      </c>
      <c r="F26" s="2"/>
      <c r="G26" s="7"/>
    </row>
    <row r="27" spans="1:9" x14ac:dyDescent="0.3">
      <c r="A27" s="2">
        <f t="shared" si="0"/>
        <v>25</v>
      </c>
      <c r="B27" s="2"/>
      <c r="C27" s="2"/>
      <c r="D27" s="2"/>
      <c r="E27" s="5">
        <f t="shared" si="2"/>
        <v>0</v>
      </c>
      <c r="F27" s="2"/>
      <c r="G27" s="7"/>
    </row>
    <row r="28" spans="1:9" x14ac:dyDescent="0.3">
      <c r="A28" s="2">
        <f t="shared" si="0"/>
        <v>26</v>
      </c>
      <c r="B28" s="2"/>
      <c r="C28" s="2"/>
      <c r="D28" s="2"/>
      <c r="E28" s="5">
        <f t="shared" si="2"/>
        <v>0</v>
      </c>
      <c r="F28" s="2"/>
      <c r="G28" s="7"/>
    </row>
    <row r="29" spans="1:9" x14ac:dyDescent="0.3">
      <c r="A29" s="2">
        <f t="shared" si="0"/>
        <v>27</v>
      </c>
      <c r="B29" s="16"/>
      <c r="C29" s="2"/>
      <c r="D29" s="5"/>
      <c r="E29" s="5">
        <f t="shared" si="2"/>
        <v>0</v>
      </c>
      <c r="F29" s="2"/>
      <c r="G29" s="7"/>
    </row>
    <row r="30" spans="1:9" x14ac:dyDescent="0.3">
      <c r="A30" s="2">
        <f t="shared" si="0"/>
        <v>28</v>
      </c>
      <c r="B30" s="2"/>
      <c r="C30" s="2"/>
      <c r="D30" s="5"/>
      <c r="E30" s="5">
        <f t="shared" ref="E29:E30" si="3">+D30*C30</f>
        <v>0</v>
      </c>
      <c r="F30" s="2"/>
      <c r="G30" s="7"/>
    </row>
  </sheetData>
  <hyperlinks>
    <hyperlink ref="F22" r:id="rId1" xr:uid="{15D952FA-8284-4B8B-BA52-5536EF27B64A}"/>
    <hyperlink ref="F3" r:id="rId2" xr:uid="{AE7C954F-D8E6-4C87-A1DB-E8E761E03657}"/>
    <hyperlink ref="F4" r:id="rId3" xr:uid="{997B98EB-1BE7-4E41-AE42-B3A348D55D49}"/>
    <hyperlink ref="F24" r:id="rId4" xr:uid="{98E3D5B9-3CB9-40F7-BD21-A223CA98A252}"/>
    <hyperlink ref="F23" r:id="rId5" xr:uid="{8D12C66E-62D7-42A4-A923-B2EE4DBAB3B0}"/>
    <hyperlink ref="F5" r:id="rId6" xr:uid="{8E2EFE7E-9CC5-40C2-899D-505567008B6F}"/>
    <hyperlink ref="F6" r:id="rId7" xr:uid="{23C3F479-2761-4355-B3B1-55A53D24E872}"/>
    <hyperlink ref="F7" r:id="rId8" xr:uid="{AC42AEB2-3CB3-436B-AC84-9FCDBCC53652}"/>
    <hyperlink ref="F8" r:id="rId9" xr:uid="{39CEC9E4-93D2-42DB-B3EF-A0DC8B1BF649}"/>
    <hyperlink ref="F9" r:id="rId10" xr:uid="{DE7DC490-28C5-40D4-8096-A5D0B4E8CA34}"/>
    <hyperlink ref="F25" r:id="rId11" xr:uid="{B7B8B7DD-9349-431A-B540-977095D47509}"/>
    <hyperlink ref="F11" r:id="rId12" xr:uid="{32C9BBE2-B085-40ED-9482-C4A992B92774}"/>
    <hyperlink ref="F12" r:id="rId13" xr:uid="{CB98356C-D2C9-46B4-9472-35C102687020}"/>
    <hyperlink ref="F13" r:id="rId14" xr:uid="{0E83BAD7-E761-4479-827D-EFCD9C540B64}"/>
    <hyperlink ref="F14" r:id="rId15" xr:uid="{5832DA8D-1D91-4BA2-A2D4-66ADE83D90AC}"/>
    <hyperlink ref="F15" r:id="rId16" xr:uid="{771AA51C-6524-4515-B611-123D4125843F}"/>
    <hyperlink ref="F16" r:id="rId17" xr:uid="{0E3B9535-05EC-41BD-AEA4-2A7FFEA4202F}"/>
    <hyperlink ref="F17" r:id="rId18" xr:uid="{D7482E33-5741-4772-BE1F-1C86D70BBB69}"/>
    <hyperlink ref="F18" r:id="rId19" xr:uid="{DCF11D56-D35C-4F46-928E-D4EEFCC2D5C3}"/>
    <hyperlink ref="F19" r:id="rId20" xr:uid="{CCDC8CEA-D755-4010-A535-AC6796494C79}"/>
    <hyperlink ref="F20" r:id="rId21" xr:uid="{0E642852-5587-4BB4-9B46-453C26D50C0A}"/>
    <hyperlink ref="F21" r:id="rId22" xr:uid="{CFC35A0D-235D-4F0F-ACB1-2308605BCF6D}"/>
    <hyperlink ref="F10" r:id="rId23" xr:uid="{6D01D0F5-F729-4C23-954F-F4F0335975FC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Jazmin Irala</dc:creator>
  <cp:lastModifiedBy>Cecilia Jazmin Irala</cp:lastModifiedBy>
  <dcterms:created xsi:type="dcterms:W3CDTF">2026-03-10T21:49:28Z</dcterms:created>
  <dcterms:modified xsi:type="dcterms:W3CDTF">2026-03-14T13:54:08Z</dcterms:modified>
</cp:coreProperties>
</file>